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lori\Documents\MPG_Biathlon\"/>
    </mc:Choice>
  </mc:AlternateContent>
  <xr:revisionPtr revIDLastSave="0" documentId="13_ncr:1_{53B5658E-DEFF-49C6-A851-EDE986E0743B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Resultats classement général" sheetId="1" r:id="rId1"/>
    <sheet name="Resultats - Classement générale" sheetId="2" r:id="rId2"/>
    <sheet name="Pronostique" sheetId="3" r:id="rId3"/>
    <sheet name="Liste des candidats" sheetId="4" r:id="rId4"/>
    <sheet name="Calcul des points" sheetId="5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5TIJiS9ew3LDjqeLAEe7dSvR50cV8RDErgiZr8HzOG0="/>
    </ext>
  </extLst>
</workbook>
</file>

<file path=xl/calcChain.xml><?xml version="1.0" encoding="utf-8"?>
<calcChain xmlns="http://schemas.openxmlformats.org/spreadsheetml/2006/main">
  <c r="B59" i="5" l="1"/>
  <c r="C53" i="5"/>
  <c r="B53" i="5"/>
  <c r="C52" i="5"/>
  <c r="B52" i="5"/>
  <c r="C51" i="5"/>
  <c r="B51" i="5"/>
  <c r="C50" i="5"/>
  <c r="B50" i="5"/>
  <c r="C49" i="5"/>
  <c r="B49" i="5"/>
  <c r="C48" i="5"/>
  <c r="B48" i="5"/>
  <c r="C44" i="5"/>
  <c r="B44" i="5"/>
  <c r="C43" i="5"/>
  <c r="B43" i="5"/>
  <c r="C42" i="5"/>
  <c r="B42" i="5"/>
  <c r="C41" i="5"/>
  <c r="B41" i="5"/>
  <c r="C40" i="5"/>
  <c r="B40" i="5"/>
  <c r="C39" i="5"/>
  <c r="B39" i="5"/>
  <c r="C35" i="5"/>
  <c r="B35" i="5"/>
  <c r="C34" i="5"/>
  <c r="B34" i="5"/>
  <c r="C33" i="5"/>
  <c r="B33" i="5"/>
  <c r="C32" i="5"/>
  <c r="B32" i="5"/>
  <c r="C31" i="5"/>
  <c r="B31" i="5"/>
  <c r="C30" i="5"/>
  <c r="B30" i="5"/>
  <c r="C26" i="5"/>
  <c r="B26" i="5"/>
  <c r="C25" i="5"/>
  <c r="B25" i="5"/>
  <c r="C24" i="5"/>
  <c r="B24" i="5"/>
  <c r="C23" i="5"/>
  <c r="B23" i="5"/>
  <c r="C22" i="5"/>
  <c r="B22" i="5"/>
  <c r="C21" i="5"/>
  <c r="B21" i="5"/>
  <c r="F17" i="5"/>
  <c r="E17" i="5"/>
  <c r="D17" i="5"/>
  <c r="C17" i="5"/>
  <c r="B17" i="5"/>
  <c r="F16" i="5"/>
  <c r="E16" i="5"/>
  <c r="D16" i="5"/>
  <c r="C16" i="5"/>
  <c r="B16" i="5"/>
  <c r="F15" i="5"/>
  <c r="E15" i="5"/>
  <c r="D15" i="5"/>
  <c r="C15" i="5"/>
  <c r="B15" i="5"/>
  <c r="F14" i="5"/>
  <c r="E14" i="5"/>
  <c r="D14" i="5"/>
  <c r="C14" i="5"/>
  <c r="B14" i="5"/>
  <c r="F13" i="5"/>
  <c r="E13" i="5"/>
  <c r="D13" i="5"/>
  <c r="C13" i="5"/>
  <c r="B13" i="5"/>
  <c r="F12" i="5"/>
  <c r="E12" i="5"/>
  <c r="D12" i="5"/>
  <c r="C12" i="5"/>
  <c r="B12" i="5"/>
  <c r="F8" i="5"/>
  <c r="E8" i="5"/>
  <c r="D8" i="5"/>
  <c r="C8" i="5"/>
  <c r="B8" i="5"/>
  <c r="F7" i="5"/>
  <c r="E7" i="5"/>
  <c r="D7" i="5"/>
  <c r="C7" i="5"/>
  <c r="B7" i="5"/>
  <c r="G7" i="5" s="1"/>
  <c r="B62" i="5" s="1"/>
  <c r="F6" i="5"/>
  <c r="E6" i="5"/>
  <c r="D6" i="5"/>
  <c r="C6" i="5"/>
  <c r="B6" i="5"/>
  <c r="F5" i="5"/>
  <c r="E5" i="5"/>
  <c r="D5" i="5"/>
  <c r="C5" i="5"/>
  <c r="B5" i="5"/>
  <c r="G5" i="5" s="1"/>
  <c r="B60" i="5" s="1"/>
  <c r="F4" i="5"/>
  <c r="E4" i="5"/>
  <c r="D4" i="5"/>
  <c r="C4" i="5"/>
  <c r="B4" i="5"/>
  <c r="G4" i="5" s="1"/>
  <c r="F3" i="5"/>
  <c r="E3" i="5"/>
  <c r="D3" i="5"/>
  <c r="C3" i="5"/>
  <c r="B3" i="5"/>
  <c r="G3" i="5" l="1"/>
  <c r="B58" i="5" s="1"/>
  <c r="G8" i="5"/>
  <c r="B63" i="5" s="1"/>
  <c r="G6" i="5"/>
  <c r="B61" i="5" s="1"/>
  <c r="G13" i="5"/>
  <c r="C59" i="5" s="1"/>
  <c r="D59" i="5" s="1"/>
  <c r="G16" i="5"/>
  <c r="C62" i="5" s="1"/>
  <c r="D62" i="5" s="1"/>
  <c r="G14" i="5"/>
  <c r="C60" i="5" s="1"/>
  <c r="D60" i="5" s="1"/>
  <c r="G12" i="5"/>
  <c r="C58" i="5" s="1"/>
  <c r="D58" i="5" s="1"/>
  <c r="G17" i="5"/>
  <c r="C63" i="5" s="1"/>
  <c r="D63" i="5" s="1"/>
  <c r="G15" i="5"/>
  <c r="C61" i="5" s="1"/>
  <c r="D61" i="5" s="1"/>
</calcChain>
</file>

<file path=xl/sharedStrings.xml><?xml version="1.0" encoding="utf-8"?>
<sst xmlns="http://schemas.openxmlformats.org/spreadsheetml/2006/main" count="291" uniqueCount="62">
  <si>
    <t>Nom</t>
  </si>
  <si>
    <t>Somme de Total</t>
  </si>
  <si>
    <t xml:space="preserve">Somme de Hommes </t>
  </si>
  <si>
    <t>Somme de Femmes</t>
  </si>
  <si>
    <t>Marie</t>
  </si>
  <si>
    <t xml:space="preserve">Manon </t>
  </si>
  <si>
    <t xml:space="preserve">Caroline </t>
  </si>
  <si>
    <t xml:space="preserve">Antonin </t>
  </si>
  <si>
    <t>Florian</t>
  </si>
  <si>
    <t xml:space="preserve">Arthur </t>
  </si>
  <si>
    <t>Femmes</t>
  </si>
  <si>
    <t>Hommes</t>
  </si>
  <si>
    <t>Classement</t>
  </si>
  <si>
    <t>Points</t>
  </si>
  <si>
    <t>Lou Jeanmonnot</t>
  </si>
  <si>
    <t>Eric Perrot</t>
  </si>
  <si>
    <t>Suvi Minkinnen</t>
  </si>
  <si>
    <t>Tomasso Giacomel</t>
  </si>
  <si>
    <t>Sebastian Samuelsson</t>
  </si>
  <si>
    <t>Hanna Oeberg</t>
  </si>
  <si>
    <t>Elvira Oeberg</t>
  </si>
  <si>
    <t>Quentin Fillon Maillet</t>
  </si>
  <si>
    <t>Dale</t>
  </si>
  <si>
    <t xml:space="preserve">Ponsiluoma </t>
  </si>
  <si>
    <t>Emilien Jacquelin</t>
  </si>
  <si>
    <t>Liza Vitozzi</t>
  </si>
  <si>
    <t>Christiansen</t>
  </si>
  <si>
    <t>Justine Braisaz-Bouchet</t>
  </si>
  <si>
    <t>Campbell Wright</t>
  </si>
  <si>
    <t>Sprint</t>
  </si>
  <si>
    <t>Poursuite</t>
  </si>
  <si>
    <t>Dorothea Wierer</t>
  </si>
  <si>
    <t>Individuel</t>
  </si>
  <si>
    <t>Mass-start</t>
  </si>
  <si>
    <t>Classement générale Homme</t>
  </si>
  <si>
    <t>Sturla Holm Laegrid</t>
  </si>
  <si>
    <t>Isak Frey</t>
  </si>
  <si>
    <t>Classement générale Femme</t>
  </si>
  <si>
    <t>Franziska Preuss</t>
  </si>
  <si>
    <t>Julia Simon</t>
  </si>
  <si>
    <t>Jeanne Richard</t>
  </si>
  <si>
    <t>Oceane Michelon</t>
  </si>
  <si>
    <t>Selina Grotian</t>
  </si>
  <si>
    <t xml:space="preserve">Ella Halvarsson </t>
  </si>
  <si>
    <t>Classement petit globe Sprint</t>
  </si>
  <si>
    <t xml:space="preserve">Hommes </t>
  </si>
  <si>
    <t>Classement petit globe Poursuite</t>
  </si>
  <si>
    <t>Classement petit globe Individuel</t>
  </si>
  <si>
    <t xml:space="preserve">Classement petit globe Mass start </t>
  </si>
  <si>
    <t xml:space="preserve">Emilien Jacquelin </t>
  </si>
  <si>
    <t>Total</t>
  </si>
  <si>
    <t/>
  </si>
  <si>
    <t>Total général</t>
  </si>
  <si>
    <t>Classement petit globe Mass start</t>
  </si>
  <si>
    <t>Antonin</t>
  </si>
  <si>
    <t>Arthur</t>
  </si>
  <si>
    <t>Manon</t>
  </si>
  <si>
    <t>Caroline</t>
  </si>
  <si>
    <t>Anna Magnusson</t>
  </si>
  <si>
    <t>Maren Kirkeeide</t>
  </si>
  <si>
    <t>Camille Bened</t>
  </si>
  <si>
    <t>Johan-Olav Botn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</si>
</sst>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0" xfId="0" applyNumberFormat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pivotSource>
    <c:name>[game_predictions.xlsx]Resultats classement général!Resultats classement général</c:name>
    <c:fmtId val="0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'Resultats classement général'!$B$3:$B$4</c:f>
              <c:strCache>
                <c:ptCount val="1"/>
                <c:pt idx="0">
                  <c:v>Somme de Total</c:v>
                </c:pt>
              </c:strCache>
            </c:strRef>
          </c:tx>
          <c:invertIfNegative val="0"/>
          <c:cat>
            <c:strRef>
              <c:f>'Resultats classement général'!$A$5:$A$11</c:f>
              <c:strCache>
                <c:ptCount val="6"/>
                <c:pt idx="0">
                  <c:v>Marie</c:v>
                </c:pt>
                <c:pt idx="1">
                  <c:v>Manon </c:v>
                </c:pt>
                <c:pt idx="2">
                  <c:v>Caroline </c:v>
                </c:pt>
                <c:pt idx="3">
                  <c:v>Antonin </c:v>
                </c:pt>
                <c:pt idx="4">
                  <c:v>Florian</c:v>
                </c:pt>
                <c:pt idx="5">
                  <c:v>Arthur </c:v>
                </c:pt>
              </c:strCache>
            </c:strRef>
          </c:cat>
          <c:val>
            <c:numRef>
              <c:f>'Resultats classement général'!$B$5:$B$11</c:f>
              <c:numCache>
                <c:formatCode>General</c:formatCode>
                <c:ptCount val="6"/>
                <c:pt idx="0">
                  <c:v>754</c:v>
                </c:pt>
                <c:pt idx="1">
                  <c:v>635</c:v>
                </c:pt>
                <c:pt idx="2">
                  <c:v>535</c:v>
                </c:pt>
                <c:pt idx="3">
                  <c:v>529</c:v>
                </c:pt>
                <c:pt idx="4">
                  <c:v>526</c:v>
                </c:pt>
                <c:pt idx="5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D2-469B-A744-E1044052ECD5}"/>
            </c:ext>
          </c:extLst>
        </c:ser>
        <c:ser>
          <c:idx val="1"/>
          <c:order val="1"/>
          <c:tx>
            <c:strRef>
              <c:f>'Resultats classement général'!$C$3:$C$4</c:f>
              <c:strCache>
                <c:ptCount val="1"/>
                <c:pt idx="0">
                  <c:v>Somme de Hommes </c:v>
                </c:pt>
              </c:strCache>
            </c:strRef>
          </c:tx>
          <c:invertIfNegative val="0"/>
          <c:cat>
            <c:strRef>
              <c:f>'Resultats classement général'!$A$5:$A$11</c:f>
              <c:strCache>
                <c:ptCount val="6"/>
                <c:pt idx="0">
                  <c:v>Marie</c:v>
                </c:pt>
                <c:pt idx="1">
                  <c:v>Manon </c:v>
                </c:pt>
                <c:pt idx="2">
                  <c:v>Caroline </c:v>
                </c:pt>
                <c:pt idx="3">
                  <c:v>Antonin </c:v>
                </c:pt>
                <c:pt idx="4">
                  <c:v>Florian</c:v>
                </c:pt>
                <c:pt idx="5">
                  <c:v>Arthur </c:v>
                </c:pt>
              </c:strCache>
            </c:strRef>
          </c:cat>
          <c:val>
            <c:numRef>
              <c:f>'Resultats classement général'!$C$5:$C$11</c:f>
              <c:numCache>
                <c:formatCode>General</c:formatCode>
                <c:ptCount val="6"/>
                <c:pt idx="0">
                  <c:v>430</c:v>
                </c:pt>
                <c:pt idx="1">
                  <c:v>380</c:v>
                </c:pt>
                <c:pt idx="2">
                  <c:v>286</c:v>
                </c:pt>
                <c:pt idx="3">
                  <c:v>305</c:v>
                </c:pt>
                <c:pt idx="4">
                  <c:v>352</c:v>
                </c:pt>
                <c:pt idx="5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D2-469B-A744-E1044052ECD5}"/>
            </c:ext>
          </c:extLst>
        </c:ser>
        <c:ser>
          <c:idx val="2"/>
          <c:order val="2"/>
          <c:tx>
            <c:strRef>
              <c:f>'Resultats classement général'!$D$3:$D$4</c:f>
              <c:strCache>
                <c:ptCount val="1"/>
                <c:pt idx="0">
                  <c:v>Somme de Femmes</c:v>
                </c:pt>
              </c:strCache>
            </c:strRef>
          </c:tx>
          <c:invertIfNegative val="0"/>
          <c:cat>
            <c:strRef>
              <c:f>'Resultats classement général'!$A$5:$A$11</c:f>
              <c:strCache>
                <c:ptCount val="6"/>
                <c:pt idx="0">
                  <c:v>Marie</c:v>
                </c:pt>
                <c:pt idx="1">
                  <c:v>Manon </c:v>
                </c:pt>
                <c:pt idx="2">
                  <c:v>Caroline </c:v>
                </c:pt>
                <c:pt idx="3">
                  <c:v>Antonin </c:v>
                </c:pt>
                <c:pt idx="4">
                  <c:v>Florian</c:v>
                </c:pt>
                <c:pt idx="5">
                  <c:v>Arthur </c:v>
                </c:pt>
              </c:strCache>
            </c:strRef>
          </c:cat>
          <c:val>
            <c:numRef>
              <c:f>'Resultats classement général'!$D$5:$D$11</c:f>
              <c:numCache>
                <c:formatCode>General</c:formatCode>
                <c:ptCount val="6"/>
                <c:pt idx="0">
                  <c:v>324</c:v>
                </c:pt>
                <c:pt idx="1">
                  <c:v>255</c:v>
                </c:pt>
                <c:pt idx="2">
                  <c:v>249</c:v>
                </c:pt>
                <c:pt idx="3">
                  <c:v>224</c:v>
                </c:pt>
                <c:pt idx="4">
                  <c:v>174</c:v>
                </c:pt>
                <c:pt idx="5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D2-469B-A744-E1044052E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5306849"/>
        <c:axId val="1334678410"/>
      </c:barChart>
      <c:catAx>
        <c:axId val="975306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34678410"/>
        <c:crosses val="autoZero"/>
        <c:auto val="1"/>
        <c:lblAlgn val="ctr"/>
        <c:lblOffset val="100"/>
        <c:noMultiLvlLbl val="1"/>
      </c:catAx>
      <c:valAx>
        <c:axId val="1334678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753068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624840</xdr:colOff>
      <xdr:row>7</xdr:row>
      <xdr:rowOff>55245</xdr:rowOff>
    </xdr:from>
    <xdr:ext cx="5010150" cy="2695575"/>
    <xdr:graphicFrame macro="">
      <xdr:nvGraphicFramePr>
        <xdr:cNvPr id="39876826" name="Chart 1" title="Chart">
          <a:extLst>
            <a:ext uri="{FF2B5EF4-FFF2-40B4-BE49-F238E27FC236}">
              <a16:creationId xmlns:a16="http://schemas.microsoft.com/office/drawing/2014/main" id="{00000000-0008-0000-0000-0000DA786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lorian Binter" refreshedDate="46064.551597916667" refreshedVersion="8" recordCount="6" xr:uid="{00000000-000A-0000-FFFF-FFFF00000000}">
  <cacheSource type="worksheet">
    <worksheetSource ref="A57:D63" sheet="Calcul des points"/>
  </cacheSource>
  <cacheFields count="4">
    <cacheField name="Nom" numFmtId="0">
      <sharedItems count="6">
        <s v="Antonin "/>
        <s v="Marie"/>
        <s v="Arthur "/>
        <s v="Manon "/>
        <s v="Caroline "/>
        <s v="Florian"/>
      </sharedItems>
    </cacheField>
    <cacheField name="Hommes " numFmtId="0">
      <sharedItems containsSemiMixedTypes="0" containsString="0" containsNumber="1" containsInteger="1" minValue="280" maxValue="430"/>
    </cacheField>
    <cacheField name="Femmes" numFmtId="0">
      <sharedItems containsSemiMixedTypes="0" containsString="0" containsNumber="1" containsInteger="1" minValue="174" maxValue="324"/>
    </cacheField>
    <cacheField name="Total" numFmtId="0">
      <sharedItems containsSemiMixedTypes="0" containsString="0" containsNumber="1" containsInteger="1" minValue="485" maxValue="7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05"/>
    <n v="224"/>
    <n v="529"/>
  </r>
  <r>
    <x v="1"/>
    <n v="430"/>
    <n v="324"/>
    <n v="754"/>
  </r>
  <r>
    <x v="2"/>
    <n v="280"/>
    <n v="205"/>
    <n v="485"/>
  </r>
  <r>
    <x v="3"/>
    <n v="380"/>
    <n v="255"/>
    <n v="635"/>
  </r>
  <r>
    <x v="4"/>
    <n v="286"/>
    <n v="249"/>
    <n v="535"/>
  </r>
  <r>
    <x v="5"/>
    <n v="352"/>
    <n v="174"/>
    <n v="5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Resultats classement général" cacheId="4" applyNumberFormats="0" applyBorderFormats="0" applyFontFormats="0" applyPatternFormats="0" applyAlignmentFormats="0" applyWidthHeightFormats="0" dataCaption="" updatedVersion="8" compact="0" compactData="0" chartFormat="1">
  <location ref="A3:D11" firstHeaderRow="1" firstDataRow="2" firstDataCol="1"/>
  <pivotFields count="4">
    <pivotField name="Nom" axis="axisRow" compact="0" outline="0" multipleItemSelectionAllowed="1" showAll="0" sortType="descending">
      <items count="7">
        <item x="0"/>
        <item x="1"/>
        <item x="2"/>
        <item x="3"/>
        <item x="4"/>
        <item x="5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Hommes " dataField="1" compact="0" outline="0" multipleItemSelectionAllowed="1" showAll="0"/>
    <pivotField name="Femmes" dataField="1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7">
    <i>
      <x v="1"/>
    </i>
    <i>
      <x v="3"/>
    </i>
    <i>
      <x v="4"/>
    </i>
    <i>
      <x/>
    </i>
    <i>
      <x v="5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Total" fld="3" baseField="0"/>
    <dataField name="Somme de Hommes " fld="1" baseField="0"/>
    <dataField name="Somme de Femmes" fld="2" baseField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D21" sqref="D21"/>
    </sheetView>
  </sheetViews>
  <sheetFormatPr baseColWidth="10" defaultColWidth="12.6640625" defaultRowHeight="15" customHeight="1" x14ac:dyDescent="0.3"/>
  <cols>
    <col min="1" max="1" width="19.44140625" customWidth="1"/>
    <col min="2" max="2" width="14.109375" customWidth="1"/>
    <col min="3" max="3" width="17.88671875" customWidth="1"/>
    <col min="4" max="4" width="17.21875" customWidth="1"/>
    <col min="5" max="26" width="10.6640625" customWidth="1"/>
  </cols>
  <sheetData>
    <row r="1" spans="1:5" ht="14.25" customHeight="1" x14ac:dyDescent="0.3"/>
    <row r="2" spans="1:5" ht="14.25" customHeight="1" x14ac:dyDescent="0.3"/>
    <row r="3" spans="1:5" ht="14.25" customHeight="1" x14ac:dyDescent="0.3">
      <c r="A3" s="7"/>
      <c r="B3" s="8" t="s">
        <v>51</v>
      </c>
      <c r="C3" s="9"/>
      <c r="D3" s="10"/>
    </row>
    <row r="4" spans="1:5" ht="14.25" customHeight="1" x14ac:dyDescent="0.3">
      <c r="A4" s="8" t="s">
        <v>0</v>
      </c>
      <c r="B4" s="7" t="s">
        <v>1</v>
      </c>
      <c r="C4" s="11" t="s">
        <v>2</v>
      </c>
      <c r="D4" s="12" t="s">
        <v>3</v>
      </c>
    </row>
    <row r="5" spans="1:5" ht="14.25" customHeight="1" x14ac:dyDescent="0.3">
      <c r="A5" s="7" t="s">
        <v>4</v>
      </c>
      <c r="B5" s="15">
        <v>754</v>
      </c>
      <c r="C5" s="16">
        <v>430</v>
      </c>
      <c r="D5" s="17">
        <v>324</v>
      </c>
    </row>
    <row r="6" spans="1:5" ht="14.25" customHeight="1" x14ac:dyDescent="0.3">
      <c r="A6" s="13" t="s">
        <v>5</v>
      </c>
      <c r="B6" s="18">
        <v>635</v>
      </c>
      <c r="C6" s="19">
        <v>380</v>
      </c>
      <c r="D6" s="20">
        <v>255</v>
      </c>
      <c r="E6" s="2"/>
    </row>
    <row r="7" spans="1:5" ht="14.25" customHeight="1" x14ac:dyDescent="0.3">
      <c r="A7" s="13" t="s">
        <v>6</v>
      </c>
      <c r="B7" s="18">
        <v>535</v>
      </c>
      <c r="C7" s="19">
        <v>286</v>
      </c>
      <c r="D7" s="20">
        <v>249</v>
      </c>
    </row>
    <row r="8" spans="1:5" ht="14.25" customHeight="1" x14ac:dyDescent="0.3">
      <c r="A8" s="13" t="s">
        <v>7</v>
      </c>
      <c r="B8" s="18">
        <v>529</v>
      </c>
      <c r="C8" s="19">
        <v>305</v>
      </c>
      <c r="D8" s="20">
        <v>224</v>
      </c>
    </row>
    <row r="9" spans="1:5" ht="14.25" customHeight="1" x14ac:dyDescent="0.3">
      <c r="A9" s="13" t="s">
        <v>8</v>
      </c>
      <c r="B9" s="18">
        <v>526</v>
      </c>
      <c r="C9" s="19">
        <v>352</v>
      </c>
      <c r="D9" s="20">
        <v>174</v>
      </c>
    </row>
    <row r="10" spans="1:5" ht="14.25" customHeight="1" x14ac:dyDescent="0.3">
      <c r="A10" s="13" t="s">
        <v>9</v>
      </c>
      <c r="B10" s="18">
        <v>485</v>
      </c>
      <c r="C10" s="19">
        <v>280</v>
      </c>
      <c r="D10" s="20">
        <v>205</v>
      </c>
    </row>
    <row r="11" spans="1:5" ht="14.25" customHeight="1" x14ac:dyDescent="0.3">
      <c r="A11" s="14" t="s">
        <v>52</v>
      </c>
      <c r="B11" s="21">
        <v>3464</v>
      </c>
      <c r="C11" s="22">
        <v>2033</v>
      </c>
      <c r="D11" s="23">
        <v>1431</v>
      </c>
    </row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B18" sqref="B18"/>
    </sheetView>
  </sheetViews>
  <sheetFormatPr baseColWidth="10" defaultColWidth="12.6640625" defaultRowHeight="15" customHeight="1" x14ac:dyDescent="0.3"/>
  <cols>
    <col min="1" max="1" width="16.109375" customWidth="1"/>
    <col min="2" max="2" width="15" customWidth="1"/>
    <col min="3" max="3" width="16.21875" customWidth="1"/>
    <col min="4" max="4" width="17.88671875" customWidth="1"/>
    <col min="5" max="26" width="10.6640625" customWidth="1"/>
  </cols>
  <sheetData>
    <row r="1" spans="1:4" ht="14.25" customHeight="1" x14ac:dyDescent="0.3"/>
    <row r="2" spans="1:4" ht="14.25" customHeight="1" x14ac:dyDescent="0.3">
      <c r="A2" s="3" t="s">
        <v>10</v>
      </c>
      <c r="B2" s="3" t="s">
        <v>11</v>
      </c>
      <c r="C2" s="3" t="s">
        <v>12</v>
      </c>
      <c r="D2" s="3" t="s">
        <v>13</v>
      </c>
    </row>
    <row r="3" spans="1:4" ht="14.25" customHeight="1" x14ac:dyDescent="0.3">
      <c r="A3" s="4" t="s">
        <v>14</v>
      </c>
      <c r="B3" s="4" t="s">
        <v>15</v>
      </c>
      <c r="C3" s="5">
        <v>1</v>
      </c>
      <c r="D3" s="5">
        <v>90</v>
      </c>
    </row>
    <row r="4" spans="1:4" ht="14.25" customHeight="1" x14ac:dyDescent="0.3">
      <c r="A4" s="4" t="s">
        <v>16</v>
      </c>
      <c r="B4" s="4" t="s">
        <v>17</v>
      </c>
      <c r="C4" s="5">
        <v>2</v>
      </c>
      <c r="D4" s="5">
        <v>75</v>
      </c>
    </row>
    <row r="5" spans="1:4" ht="14.25" customHeight="1" x14ac:dyDescent="0.3">
      <c r="A5" s="24" t="s">
        <v>58</v>
      </c>
      <c r="B5" s="4" t="s">
        <v>18</v>
      </c>
      <c r="C5" s="5">
        <v>3</v>
      </c>
      <c r="D5" s="5">
        <v>65</v>
      </c>
    </row>
    <row r="6" spans="1:4" ht="14.25" customHeight="1" x14ac:dyDescent="0.3">
      <c r="A6" s="24" t="s">
        <v>59</v>
      </c>
      <c r="B6" s="24" t="s">
        <v>61</v>
      </c>
      <c r="C6" s="5">
        <v>4</v>
      </c>
      <c r="D6" s="5">
        <v>55</v>
      </c>
    </row>
    <row r="7" spans="1:4" ht="14.25" customHeight="1" x14ac:dyDescent="0.3">
      <c r="A7" s="4" t="s">
        <v>19</v>
      </c>
      <c r="B7" s="4" t="s">
        <v>21</v>
      </c>
      <c r="C7" s="5">
        <v>5</v>
      </c>
      <c r="D7" s="5">
        <v>50</v>
      </c>
    </row>
    <row r="8" spans="1:4" ht="14.25" customHeight="1" x14ac:dyDescent="0.3">
      <c r="A8" s="4" t="s">
        <v>20</v>
      </c>
      <c r="B8" s="4" t="s">
        <v>22</v>
      </c>
      <c r="C8" s="5">
        <v>6</v>
      </c>
      <c r="D8" s="5">
        <v>45</v>
      </c>
    </row>
    <row r="9" spans="1:4" ht="14.25" customHeight="1" x14ac:dyDescent="0.3">
      <c r="A9" s="4" t="s">
        <v>25</v>
      </c>
      <c r="B9" s="4" t="s">
        <v>23</v>
      </c>
      <c r="C9" s="5">
        <v>7</v>
      </c>
      <c r="D9" s="5">
        <v>41</v>
      </c>
    </row>
    <row r="10" spans="1:4" ht="14.25" customHeight="1" x14ac:dyDescent="0.3">
      <c r="A10" s="24" t="s">
        <v>60</v>
      </c>
      <c r="B10" s="4" t="s">
        <v>24</v>
      </c>
      <c r="C10" s="5">
        <v>8</v>
      </c>
      <c r="D10" s="5">
        <v>37</v>
      </c>
    </row>
    <row r="11" spans="1:4" ht="14.25" customHeight="1" x14ac:dyDescent="0.3">
      <c r="A11" s="24" t="s">
        <v>27</v>
      </c>
      <c r="B11" s="4" t="s">
        <v>26</v>
      </c>
      <c r="C11" s="5">
        <v>9</v>
      </c>
      <c r="D11" s="5">
        <v>34</v>
      </c>
    </row>
    <row r="12" spans="1:4" ht="14.25" customHeight="1" x14ac:dyDescent="0.3">
      <c r="A12" s="24" t="s">
        <v>31</v>
      </c>
      <c r="B12" s="4" t="s">
        <v>28</v>
      </c>
      <c r="C12" s="5">
        <v>10</v>
      </c>
      <c r="D12" s="5">
        <v>31</v>
      </c>
    </row>
    <row r="13" spans="1:4" ht="14.25" customHeight="1" x14ac:dyDescent="0.3">
      <c r="A13" s="4" t="s">
        <v>14</v>
      </c>
      <c r="B13" s="4" t="s">
        <v>17</v>
      </c>
      <c r="C13" s="5" t="s">
        <v>29</v>
      </c>
      <c r="D13" s="5">
        <v>50</v>
      </c>
    </row>
    <row r="14" spans="1:4" ht="14.25" customHeight="1" x14ac:dyDescent="0.3">
      <c r="A14" s="4" t="s">
        <v>16</v>
      </c>
      <c r="B14" s="4" t="s">
        <v>15</v>
      </c>
      <c r="C14" s="5" t="s">
        <v>30</v>
      </c>
      <c r="D14" s="5">
        <v>50</v>
      </c>
    </row>
    <row r="15" spans="1:4" ht="14.25" customHeight="1" x14ac:dyDescent="0.3">
      <c r="A15" s="6" t="s">
        <v>14</v>
      </c>
      <c r="B15" s="6" t="s">
        <v>15</v>
      </c>
      <c r="C15" s="5" t="s">
        <v>32</v>
      </c>
      <c r="D15" s="5">
        <v>50</v>
      </c>
    </row>
    <row r="16" spans="1:4" ht="14.25" customHeight="1" x14ac:dyDescent="0.3">
      <c r="A16" s="4" t="s">
        <v>14</v>
      </c>
      <c r="B16" s="4" t="s">
        <v>15</v>
      </c>
      <c r="C16" s="5" t="s">
        <v>33</v>
      </c>
      <c r="D16" s="5">
        <v>50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'Liste des candidats'!$A$2:$A$10</xm:f>
          </x14:formula1>
          <xm:sqref>B3:B16</xm:sqref>
        </x14:dataValidation>
        <x14:dataValidation type="list" allowBlank="1" xr:uid="{00000000-0002-0000-0100-000001000000}">
          <x14:formula1>
            <xm:f>'Liste des candidats'!$B$2:$B$13</xm:f>
          </x14:formula1>
          <xm:sqref>A3:A16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opLeftCell="A14" workbookViewId="0">
      <selection activeCell="D58" sqref="D58"/>
    </sheetView>
  </sheetViews>
  <sheetFormatPr baseColWidth="10" defaultColWidth="12.6640625" defaultRowHeight="15" customHeight="1" x14ac:dyDescent="0.3"/>
  <cols>
    <col min="1" max="1" width="10.6640625" customWidth="1"/>
    <col min="2" max="2" width="22.44140625" customWidth="1"/>
    <col min="3" max="4" width="20.88671875" customWidth="1"/>
    <col min="5" max="5" width="20.44140625" customWidth="1"/>
    <col min="6" max="6" width="22.88671875" customWidth="1"/>
    <col min="7" max="26" width="10.6640625" customWidth="1"/>
  </cols>
  <sheetData>
    <row r="1" spans="1:6" ht="14.25" customHeight="1" x14ac:dyDescent="0.3">
      <c r="A1" s="1" t="s">
        <v>34</v>
      </c>
    </row>
    <row r="2" spans="1:6" ht="14.25" customHeight="1" x14ac:dyDescent="0.3">
      <c r="B2" s="6">
        <v>1</v>
      </c>
      <c r="C2" s="6">
        <v>2</v>
      </c>
      <c r="D2" s="6">
        <v>3</v>
      </c>
      <c r="E2" s="6">
        <v>4</v>
      </c>
      <c r="F2" s="6">
        <v>5</v>
      </c>
    </row>
    <row r="3" spans="1:6" ht="14.25" customHeight="1" x14ac:dyDescent="0.3">
      <c r="A3" s="6" t="s">
        <v>7</v>
      </c>
      <c r="B3" s="6" t="s">
        <v>15</v>
      </c>
      <c r="C3" s="6" t="s">
        <v>35</v>
      </c>
      <c r="D3" s="6" t="s">
        <v>21</v>
      </c>
      <c r="E3" s="6" t="s">
        <v>18</v>
      </c>
      <c r="F3" s="6" t="s">
        <v>36</v>
      </c>
    </row>
    <row r="4" spans="1:6" ht="14.25" customHeight="1" x14ac:dyDescent="0.3">
      <c r="A4" s="6" t="s">
        <v>4</v>
      </c>
      <c r="B4" s="6" t="s">
        <v>15</v>
      </c>
      <c r="C4" s="6" t="s">
        <v>18</v>
      </c>
      <c r="D4" s="6" t="s">
        <v>35</v>
      </c>
      <c r="E4" s="6" t="s">
        <v>21</v>
      </c>
      <c r="F4" s="6" t="s">
        <v>17</v>
      </c>
    </row>
    <row r="5" spans="1:6" ht="14.25" customHeight="1" x14ac:dyDescent="0.3">
      <c r="A5" s="6" t="s">
        <v>9</v>
      </c>
      <c r="B5" s="6" t="s">
        <v>21</v>
      </c>
      <c r="C5" s="6" t="s">
        <v>15</v>
      </c>
      <c r="D5" s="6" t="s">
        <v>35</v>
      </c>
      <c r="E5" s="6" t="s">
        <v>17</v>
      </c>
      <c r="F5" s="6" t="s">
        <v>18</v>
      </c>
    </row>
    <row r="6" spans="1:6" ht="14.25" customHeight="1" x14ac:dyDescent="0.3">
      <c r="A6" s="6" t="s">
        <v>5</v>
      </c>
      <c r="B6" s="6" t="s">
        <v>35</v>
      </c>
      <c r="C6" s="6" t="s">
        <v>15</v>
      </c>
      <c r="D6" s="6" t="s">
        <v>21</v>
      </c>
      <c r="E6" s="6" t="s">
        <v>18</v>
      </c>
      <c r="F6" s="6" t="s">
        <v>17</v>
      </c>
    </row>
    <row r="7" spans="1:6" ht="14.25" customHeight="1" x14ac:dyDescent="0.3">
      <c r="A7" s="6" t="s">
        <v>6</v>
      </c>
      <c r="B7" s="6" t="s">
        <v>15</v>
      </c>
      <c r="C7" s="6" t="s">
        <v>18</v>
      </c>
      <c r="D7" s="6" t="s">
        <v>35</v>
      </c>
      <c r="E7" s="6" t="s">
        <v>36</v>
      </c>
      <c r="F7" s="6" t="s">
        <v>28</v>
      </c>
    </row>
    <row r="8" spans="1:6" ht="14.25" customHeight="1" x14ac:dyDescent="0.3">
      <c r="A8" s="6" t="s">
        <v>8</v>
      </c>
      <c r="B8" s="6" t="s">
        <v>15</v>
      </c>
      <c r="C8" s="6" t="s">
        <v>24</v>
      </c>
      <c r="D8" s="6" t="s">
        <v>17</v>
      </c>
      <c r="E8" s="6" t="s">
        <v>36</v>
      </c>
      <c r="F8" s="6" t="s">
        <v>35</v>
      </c>
    </row>
    <row r="9" spans="1:6" ht="14.25" customHeight="1" x14ac:dyDescent="0.3"/>
    <row r="10" spans="1:6" ht="14.25" customHeight="1" x14ac:dyDescent="0.3">
      <c r="A10" s="1" t="s">
        <v>37</v>
      </c>
    </row>
    <row r="11" spans="1:6" ht="14.25" customHeight="1" x14ac:dyDescent="0.3">
      <c r="B11" s="6">
        <v>1</v>
      </c>
      <c r="C11" s="6">
        <v>2</v>
      </c>
      <c r="D11" s="6">
        <v>3</v>
      </c>
      <c r="E11" s="6">
        <v>4</v>
      </c>
      <c r="F11" s="6">
        <v>5</v>
      </c>
    </row>
    <row r="12" spans="1:6" ht="14.25" customHeight="1" x14ac:dyDescent="0.3">
      <c r="A12" s="6" t="s">
        <v>7</v>
      </c>
      <c r="B12" s="6" t="s">
        <v>14</v>
      </c>
      <c r="C12" s="6" t="s">
        <v>38</v>
      </c>
      <c r="D12" s="6" t="s">
        <v>25</v>
      </c>
      <c r="E12" s="6" t="s">
        <v>20</v>
      </c>
      <c r="F12" s="6" t="s">
        <v>39</v>
      </c>
    </row>
    <row r="13" spans="1:6" ht="14.25" customHeight="1" x14ac:dyDescent="0.3">
      <c r="A13" s="6" t="s">
        <v>4</v>
      </c>
      <c r="B13" s="6" t="s">
        <v>14</v>
      </c>
      <c r="C13" s="6" t="s">
        <v>25</v>
      </c>
      <c r="D13" s="6" t="s">
        <v>38</v>
      </c>
      <c r="E13" s="6" t="s">
        <v>40</v>
      </c>
      <c r="F13" s="6" t="s">
        <v>20</v>
      </c>
    </row>
    <row r="14" spans="1:6" ht="14.25" customHeight="1" x14ac:dyDescent="0.3">
      <c r="A14" s="6" t="s">
        <v>9</v>
      </c>
      <c r="B14" s="6" t="s">
        <v>14</v>
      </c>
      <c r="C14" s="6" t="s">
        <v>25</v>
      </c>
      <c r="D14" s="6" t="s">
        <v>27</v>
      </c>
      <c r="E14" s="6" t="s">
        <v>38</v>
      </c>
      <c r="F14" s="6" t="s">
        <v>40</v>
      </c>
    </row>
    <row r="15" spans="1:6" ht="14.25" customHeight="1" x14ac:dyDescent="0.3">
      <c r="A15" s="6" t="s">
        <v>5</v>
      </c>
      <c r="B15" s="6" t="s">
        <v>14</v>
      </c>
      <c r="C15" s="6" t="s">
        <v>38</v>
      </c>
      <c r="D15" s="6" t="s">
        <v>20</v>
      </c>
      <c r="E15" s="6" t="s">
        <v>27</v>
      </c>
      <c r="F15" s="6" t="s">
        <v>25</v>
      </c>
    </row>
    <row r="16" spans="1:6" ht="14.25" customHeight="1" x14ac:dyDescent="0.3">
      <c r="A16" s="6" t="s">
        <v>6</v>
      </c>
      <c r="B16" s="6" t="s">
        <v>14</v>
      </c>
      <c r="C16" s="6" t="s">
        <v>25</v>
      </c>
      <c r="D16" s="6" t="s">
        <v>41</v>
      </c>
      <c r="E16" s="6" t="s">
        <v>38</v>
      </c>
      <c r="F16" s="6" t="s">
        <v>16</v>
      </c>
    </row>
    <row r="17" spans="1:6" ht="14.25" customHeight="1" x14ac:dyDescent="0.3">
      <c r="A17" s="6" t="s">
        <v>8</v>
      </c>
      <c r="B17" s="6" t="s">
        <v>14</v>
      </c>
      <c r="C17" s="6" t="s">
        <v>25</v>
      </c>
      <c r="D17" s="6" t="s">
        <v>41</v>
      </c>
      <c r="E17" s="6" t="s">
        <v>42</v>
      </c>
      <c r="F17" s="6" t="s">
        <v>43</v>
      </c>
    </row>
    <row r="18" spans="1:6" ht="14.25" customHeight="1" x14ac:dyDescent="0.3"/>
    <row r="19" spans="1:6" ht="14.25" customHeight="1" x14ac:dyDescent="0.3">
      <c r="A19" s="1" t="s">
        <v>44</v>
      </c>
    </row>
    <row r="20" spans="1:6" ht="14.25" customHeight="1" x14ac:dyDescent="0.3">
      <c r="B20" s="6" t="s">
        <v>45</v>
      </c>
      <c r="C20" s="6" t="s">
        <v>10</v>
      </c>
    </row>
    <row r="21" spans="1:6" ht="14.25" customHeight="1" x14ac:dyDescent="0.3">
      <c r="A21" s="6" t="s">
        <v>7</v>
      </c>
      <c r="B21" s="6" t="s">
        <v>15</v>
      </c>
      <c r="C21" s="6" t="s">
        <v>38</v>
      </c>
    </row>
    <row r="22" spans="1:6" ht="14.25" customHeight="1" x14ac:dyDescent="0.3">
      <c r="A22" s="6" t="s">
        <v>4</v>
      </c>
      <c r="B22" s="6" t="s">
        <v>35</v>
      </c>
      <c r="C22" s="6" t="s">
        <v>14</v>
      </c>
    </row>
    <row r="23" spans="1:6" ht="14.25" customHeight="1" x14ac:dyDescent="0.3">
      <c r="A23" s="6" t="s">
        <v>9</v>
      </c>
      <c r="B23" s="6" t="s">
        <v>24</v>
      </c>
      <c r="C23" s="6" t="s">
        <v>27</v>
      </c>
    </row>
    <row r="24" spans="1:6" ht="14.25" customHeight="1" x14ac:dyDescent="0.3">
      <c r="A24" s="6" t="s">
        <v>5</v>
      </c>
      <c r="B24" s="6" t="s">
        <v>35</v>
      </c>
      <c r="C24" s="6" t="s">
        <v>38</v>
      </c>
    </row>
    <row r="25" spans="1:6" ht="14.25" customHeight="1" x14ac:dyDescent="0.3">
      <c r="A25" s="6" t="s">
        <v>6</v>
      </c>
      <c r="B25" s="6" t="s">
        <v>24</v>
      </c>
      <c r="C25" s="6" t="s">
        <v>27</v>
      </c>
    </row>
    <row r="26" spans="1:6" ht="14.25" customHeight="1" x14ac:dyDescent="0.3">
      <c r="A26" s="6" t="s">
        <v>8</v>
      </c>
      <c r="B26" s="6" t="s">
        <v>35</v>
      </c>
      <c r="C26" s="6" t="s">
        <v>25</v>
      </c>
    </row>
    <row r="27" spans="1:6" ht="14.25" customHeight="1" x14ac:dyDescent="0.3"/>
    <row r="28" spans="1:6" ht="14.25" customHeight="1" x14ac:dyDescent="0.3">
      <c r="A28" s="1" t="s">
        <v>46</v>
      </c>
    </row>
    <row r="29" spans="1:6" ht="14.25" customHeight="1" x14ac:dyDescent="0.3">
      <c r="B29" s="6" t="s">
        <v>45</v>
      </c>
      <c r="C29" s="6" t="s">
        <v>10</v>
      </c>
    </row>
    <row r="30" spans="1:6" ht="14.25" customHeight="1" x14ac:dyDescent="0.3">
      <c r="A30" s="6" t="s">
        <v>7</v>
      </c>
      <c r="B30" s="6" t="s">
        <v>15</v>
      </c>
      <c r="C30" s="6" t="s">
        <v>14</v>
      </c>
    </row>
    <row r="31" spans="1:6" ht="14.25" customHeight="1" x14ac:dyDescent="0.3">
      <c r="A31" s="6" t="s">
        <v>4</v>
      </c>
      <c r="B31" s="6" t="s">
        <v>18</v>
      </c>
      <c r="C31" s="6" t="s">
        <v>14</v>
      </c>
    </row>
    <row r="32" spans="1:6" ht="14.25" customHeight="1" x14ac:dyDescent="0.3">
      <c r="A32" s="6" t="s">
        <v>9</v>
      </c>
      <c r="B32" s="6" t="s">
        <v>35</v>
      </c>
      <c r="C32" s="6" t="s">
        <v>39</v>
      </c>
    </row>
    <row r="33" spans="1:3" ht="14.25" customHeight="1" x14ac:dyDescent="0.3">
      <c r="A33" s="6" t="s">
        <v>5</v>
      </c>
      <c r="B33" s="6" t="s">
        <v>15</v>
      </c>
      <c r="C33" s="6" t="s">
        <v>14</v>
      </c>
    </row>
    <row r="34" spans="1:3" ht="14.25" customHeight="1" x14ac:dyDescent="0.3">
      <c r="A34" s="6" t="s">
        <v>6</v>
      </c>
      <c r="B34" s="6" t="s">
        <v>18</v>
      </c>
      <c r="C34" s="6" t="s">
        <v>41</v>
      </c>
    </row>
    <row r="35" spans="1:3" ht="14.25" customHeight="1" x14ac:dyDescent="0.3">
      <c r="A35" s="6" t="s">
        <v>8</v>
      </c>
      <c r="B35" s="6" t="s">
        <v>15</v>
      </c>
      <c r="C35" s="6" t="s">
        <v>14</v>
      </c>
    </row>
    <row r="36" spans="1:3" ht="14.25" customHeight="1" x14ac:dyDescent="0.3"/>
    <row r="37" spans="1:3" ht="14.25" customHeight="1" x14ac:dyDescent="0.3">
      <c r="A37" s="1" t="s">
        <v>47</v>
      </c>
    </row>
    <row r="38" spans="1:3" ht="14.25" customHeight="1" x14ac:dyDescent="0.3">
      <c r="B38" s="6" t="s">
        <v>45</v>
      </c>
      <c r="C38" s="6" t="s">
        <v>10</v>
      </c>
    </row>
    <row r="39" spans="1:3" ht="14.25" customHeight="1" x14ac:dyDescent="0.3">
      <c r="A39" s="6" t="s">
        <v>54</v>
      </c>
      <c r="B39" s="6" t="s">
        <v>35</v>
      </c>
      <c r="C39" s="6" t="s">
        <v>14</v>
      </c>
    </row>
    <row r="40" spans="1:3" ht="14.25" customHeight="1" x14ac:dyDescent="0.3">
      <c r="A40" s="6" t="s">
        <v>4</v>
      </c>
      <c r="B40" s="6" t="s">
        <v>15</v>
      </c>
      <c r="C40" s="6" t="s">
        <v>38</v>
      </c>
    </row>
    <row r="41" spans="1:3" ht="14.25" customHeight="1" x14ac:dyDescent="0.3">
      <c r="A41" s="6" t="s">
        <v>55</v>
      </c>
      <c r="B41" s="6" t="s">
        <v>35</v>
      </c>
      <c r="C41" s="6" t="s">
        <v>25</v>
      </c>
    </row>
    <row r="42" spans="1:3" ht="14.25" customHeight="1" x14ac:dyDescent="0.3">
      <c r="A42" s="6" t="s">
        <v>56</v>
      </c>
      <c r="B42" s="6" t="s">
        <v>35</v>
      </c>
      <c r="C42" s="6" t="s">
        <v>14</v>
      </c>
    </row>
    <row r="43" spans="1:3" ht="14.25" customHeight="1" x14ac:dyDescent="0.3">
      <c r="A43" s="6" t="s">
        <v>57</v>
      </c>
      <c r="B43" s="6" t="s">
        <v>35</v>
      </c>
      <c r="C43" s="6" t="s">
        <v>25</v>
      </c>
    </row>
    <row r="44" spans="1:3" ht="14.25" customHeight="1" x14ac:dyDescent="0.3">
      <c r="A44" s="6" t="s">
        <v>8</v>
      </c>
      <c r="B44" s="6" t="s">
        <v>15</v>
      </c>
      <c r="C44" s="6" t="s">
        <v>19</v>
      </c>
    </row>
    <row r="45" spans="1:3" ht="14.25" customHeight="1" x14ac:dyDescent="0.3"/>
    <row r="46" spans="1:3" ht="14.25" customHeight="1" x14ac:dyDescent="0.3">
      <c r="A46" s="1" t="s">
        <v>53</v>
      </c>
    </row>
    <row r="47" spans="1:3" ht="14.25" customHeight="1" x14ac:dyDescent="0.3">
      <c r="B47" s="6" t="s">
        <v>45</v>
      </c>
      <c r="C47" s="6" t="s">
        <v>10</v>
      </c>
    </row>
    <row r="48" spans="1:3" ht="14.25" customHeight="1" x14ac:dyDescent="0.3">
      <c r="A48" s="6" t="s">
        <v>54</v>
      </c>
      <c r="B48" s="6" t="s">
        <v>21</v>
      </c>
      <c r="C48" s="6" t="s">
        <v>25</v>
      </c>
    </row>
    <row r="49" spans="1:3" ht="14.25" customHeight="1" x14ac:dyDescent="0.3">
      <c r="A49" s="6" t="s">
        <v>4</v>
      </c>
      <c r="B49" s="6" t="s">
        <v>15</v>
      </c>
      <c r="C49" s="6" t="s">
        <v>40</v>
      </c>
    </row>
    <row r="50" spans="1:3" ht="14.25" customHeight="1" x14ac:dyDescent="0.3">
      <c r="A50" s="6" t="s">
        <v>55</v>
      </c>
      <c r="B50" s="6" t="s">
        <v>21</v>
      </c>
      <c r="C50" s="6" t="s">
        <v>14</v>
      </c>
    </row>
    <row r="51" spans="1:3" ht="14.25" customHeight="1" x14ac:dyDescent="0.3">
      <c r="A51" s="6" t="s">
        <v>56</v>
      </c>
      <c r="B51" s="6" t="s">
        <v>15</v>
      </c>
      <c r="C51" s="6" t="s">
        <v>20</v>
      </c>
    </row>
    <row r="52" spans="1:3" ht="14.25" customHeight="1" x14ac:dyDescent="0.3">
      <c r="A52" s="6" t="s">
        <v>57</v>
      </c>
      <c r="B52" s="6" t="s">
        <v>15</v>
      </c>
      <c r="C52" s="6" t="s">
        <v>14</v>
      </c>
    </row>
    <row r="53" spans="1:3" ht="14.25" customHeight="1" x14ac:dyDescent="0.3">
      <c r="A53" s="6" t="s">
        <v>8</v>
      </c>
      <c r="B53" s="6" t="s">
        <v>49</v>
      </c>
      <c r="C53" s="6" t="s">
        <v>14</v>
      </c>
    </row>
    <row r="54" spans="1:3" ht="14.25" customHeight="1" x14ac:dyDescent="0.3"/>
    <row r="55" spans="1:3" ht="14.25" customHeight="1" x14ac:dyDescent="0.3"/>
    <row r="56" spans="1:3" ht="14.25" customHeight="1" x14ac:dyDescent="0.3"/>
    <row r="57" spans="1:3" ht="14.25" customHeight="1" x14ac:dyDescent="0.3"/>
    <row r="58" spans="1:3" ht="14.25" customHeight="1" x14ac:dyDescent="0.3"/>
    <row r="59" spans="1:3" ht="14.25" customHeight="1" x14ac:dyDescent="0.3"/>
    <row r="60" spans="1:3" ht="14.25" customHeight="1" x14ac:dyDescent="0.3"/>
    <row r="61" spans="1:3" ht="14.25" customHeight="1" x14ac:dyDescent="0.3"/>
    <row r="62" spans="1:3" ht="14.25" customHeight="1" x14ac:dyDescent="0.3"/>
    <row r="63" spans="1:3" ht="14.25" customHeight="1" x14ac:dyDescent="0.3"/>
    <row r="64" spans="1: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baseColWidth="10" defaultColWidth="12.6640625" defaultRowHeight="15" customHeight="1" x14ac:dyDescent="0.3"/>
  <cols>
    <col min="1" max="1" width="28.109375" customWidth="1"/>
    <col min="2" max="2" width="17.33203125" customWidth="1"/>
    <col min="3" max="26" width="10.6640625" customWidth="1"/>
  </cols>
  <sheetData>
    <row r="1" spans="1:2" ht="14.25" customHeight="1" x14ac:dyDescent="0.3">
      <c r="A1" s="1" t="s">
        <v>11</v>
      </c>
      <c r="B1" s="1" t="s">
        <v>10</v>
      </c>
    </row>
    <row r="2" spans="1:2" ht="14.25" customHeight="1" x14ac:dyDescent="0.3">
      <c r="A2" s="6" t="s">
        <v>15</v>
      </c>
      <c r="B2" s="6" t="s">
        <v>14</v>
      </c>
    </row>
    <row r="3" spans="1:2" ht="14.25" customHeight="1" x14ac:dyDescent="0.3">
      <c r="A3" s="6" t="s">
        <v>21</v>
      </c>
      <c r="B3" s="6" t="s">
        <v>38</v>
      </c>
    </row>
    <row r="4" spans="1:2" ht="14.25" customHeight="1" x14ac:dyDescent="0.3">
      <c r="A4" s="6" t="s">
        <v>35</v>
      </c>
      <c r="B4" s="6" t="s">
        <v>25</v>
      </c>
    </row>
    <row r="5" spans="1:2" ht="14.25" customHeight="1" x14ac:dyDescent="0.3">
      <c r="A5" s="6" t="s">
        <v>18</v>
      </c>
      <c r="B5" s="6" t="s">
        <v>27</v>
      </c>
    </row>
    <row r="6" spans="1:2" ht="14.25" customHeight="1" x14ac:dyDescent="0.3">
      <c r="A6" s="6" t="s">
        <v>24</v>
      </c>
      <c r="B6" s="6" t="s">
        <v>20</v>
      </c>
    </row>
    <row r="7" spans="1:2" ht="14.25" customHeight="1" x14ac:dyDescent="0.3">
      <c r="A7" s="6" t="s">
        <v>17</v>
      </c>
      <c r="B7" s="6" t="s">
        <v>41</v>
      </c>
    </row>
    <row r="8" spans="1:2" ht="14.25" customHeight="1" x14ac:dyDescent="0.3">
      <c r="A8" s="6" t="s">
        <v>36</v>
      </c>
      <c r="B8" s="6" t="s">
        <v>40</v>
      </c>
    </row>
    <row r="9" spans="1:2" ht="14.25" customHeight="1" x14ac:dyDescent="0.3">
      <c r="A9" s="6" t="s">
        <v>28</v>
      </c>
      <c r="B9" s="6" t="s">
        <v>42</v>
      </c>
    </row>
    <row r="10" spans="1:2" ht="14.25" customHeight="1" x14ac:dyDescent="0.3">
      <c r="A10" s="6" t="s">
        <v>49</v>
      </c>
      <c r="B10" s="6" t="s">
        <v>39</v>
      </c>
    </row>
    <row r="11" spans="1:2" ht="14.25" customHeight="1" x14ac:dyDescent="0.3">
      <c r="B11" s="6" t="s">
        <v>16</v>
      </c>
    </row>
    <row r="12" spans="1:2" ht="14.25" customHeight="1" x14ac:dyDescent="0.3">
      <c r="A12" s="6"/>
      <c r="B12" s="6" t="s">
        <v>43</v>
      </c>
    </row>
    <row r="13" spans="1:2" ht="14.25" customHeight="1" x14ac:dyDescent="0.3">
      <c r="A13" s="6"/>
      <c r="B13" s="6" t="s">
        <v>19</v>
      </c>
    </row>
    <row r="14" spans="1:2" ht="14.25" customHeight="1" x14ac:dyDescent="0.3">
      <c r="A14" s="6"/>
    </row>
    <row r="15" spans="1:2" ht="14.25" customHeight="1" x14ac:dyDescent="0.3">
      <c r="A15" s="6"/>
    </row>
    <row r="16" spans="1:2" ht="14.25" customHeight="1" x14ac:dyDescent="0.3">
      <c r="A16" s="6"/>
    </row>
    <row r="17" spans="1:1" ht="14.25" customHeight="1" x14ac:dyDescent="0.3">
      <c r="A17" s="6"/>
    </row>
    <row r="18" spans="1:1" ht="14.25" customHeight="1" x14ac:dyDescent="0.3">
      <c r="A18" s="6"/>
    </row>
    <row r="19" spans="1:1" ht="14.25" customHeight="1" x14ac:dyDescent="0.3">
      <c r="A19" s="6"/>
    </row>
    <row r="20" spans="1:1" ht="14.25" customHeight="1" x14ac:dyDescent="0.3">
      <c r="A20" s="6"/>
    </row>
    <row r="21" spans="1:1" ht="14.25" customHeight="1" x14ac:dyDescent="0.3">
      <c r="A21" s="6"/>
    </row>
    <row r="22" spans="1:1" ht="14.25" customHeight="1" x14ac:dyDescent="0.3">
      <c r="A22" s="6"/>
    </row>
    <row r="23" spans="1:1" ht="14.25" customHeight="1" x14ac:dyDescent="0.3">
      <c r="A23" s="6"/>
    </row>
    <row r="24" spans="1:1" ht="14.25" customHeight="1" x14ac:dyDescent="0.3"/>
    <row r="25" spans="1:1" ht="14.25" customHeight="1" x14ac:dyDescent="0.3"/>
    <row r="26" spans="1:1" ht="14.25" customHeight="1" x14ac:dyDescent="0.3"/>
    <row r="27" spans="1:1" ht="14.25" customHeight="1" x14ac:dyDescent="0.3"/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tabSelected="1" topLeftCell="A24" workbookViewId="0">
      <selection activeCell="C59" sqref="C59"/>
    </sheetView>
  </sheetViews>
  <sheetFormatPr baseColWidth="10" defaultColWidth="12.6640625" defaultRowHeight="15" customHeight="1" x14ac:dyDescent="0.3"/>
  <cols>
    <col min="1" max="1" width="10.6640625" customWidth="1"/>
    <col min="2" max="2" width="22.44140625" customWidth="1"/>
    <col min="3" max="4" width="20.88671875" customWidth="1"/>
    <col min="5" max="5" width="20.44140625" customWidth="1"/>
    <col min="6" max="6" width="22.88671875" customWidth="1"/>
    <col min="7" max="26" width="10.6640625" customWidth="1"/>
  </cols>
  <sheetData>
    <row r="1" spans="1:7" ht="14.25" customHeight="1" x14ac:dyDescent="0.3">
      <c r="A1" s="1" t="s">
        <v>34</v>
      </c>
    </row>
    <row r="2" spans="1:7" ht="14.25" customHeight="1" x14ac:dyDescent="0.3">
      <c r="B2" s="6">
        <v>1</v>
      </c>
      <c r="C2" s="6">
        <v>2</v>
      </c>
      <c r="D2" s="6">
        <v>3</v>
      </c>
      <c r="E2" s="6">
        <v>4</v>
      </c>
      <c r="F2" s="6">
        <v>5</v>
      </c>
      <c r="G2" s="6" t="s">
        <v>50</v>
      </c>
    </row>
    <row r="3" spans="1:7" ht="14.25" customHeight="1" x14ac:dyDescent="0.3">
      <c r="A3" s="6" t="s">
        <v>7</v>
      </c>
      <c r="B3" s="6">
        <f>IFERROR(VLOOKUP(Pronostique!B3,'Resultats - Classement générale'!$B$3:$D$12,3,FALSE),0)+IF(Pronostique!B3='Resultats - Classement générale'!$B$3,50,0)</f>
        <v>140</v>
      </c>
      <c r="C3" s="6">
        <f>IFERROR(VLOOKUP(Pronostique!C3,'Resultats - Classement générale'!$B$3:$D$12,3,FALSE),0)+IF(Pronostique!C3='Resultats - Classement générale'!$B$4,50,0)</f>
        <v>0</v>
      </c>
      <c r="D3" s="6">
        <f>IFERROR(VLOOKUP(Pronostique!D3,'Resultats - Classement générale'!$B$3:$D$12,3,FALSE),0)+IF(Pronostique!D3='Resultats - Classement générale'!$B$5,50,0)</f>
        <v>50</v>
      </c>
      <c r="E3" s="6">
        <f>IFERROR(VLOOKUP(Pronostique!E3,'Resultats - Classement générale'!$B$3:$D$12,3,FALSE),0)+IF(Pronostique!E3='Resultats - Classement générale'!$B$6,50,0)</f>
        <v>65</v>
      </c>
      <c r="F3" s="6">
        <f>IFERROR(VLOOKUP(Pronostique!F3,'Resultats - Classement générale'!$B$3:$D$12,3,FALSE),0)+IF(Pronostique!F3='Resultats - Classement générale'!$B$7,50,0)</f>
        <v>0</v>
      </c>
      <c r="G3" s="6">
        <f t="shared" ref="G3:G8" si="0">SUM(B3:F3)</f>
        <v>255</v>
      </c>
    </row>
    <row r="4" spans="1:7" ht="14.25" customHeight="1" x14ac:dyDescent="0.3">
      <c r="A4" s="6" t="s">
        <v>4</v>
      </c>
      <c r="B4" s="6">
        <f>IFERROR(VLOOKUP(Pronostique!B4,'Resultats - Classement générale'!$B$3:$D$12,3,FALSE),0)+IF(Pronostique!B4='Resultats - Classement générale'!$B$3,50,0)</f>
        <v>140</v>
      </c>
      <c r="C4" s="6">
        <f>IFERROR(VLOOKUP(Pronostique!C4,'Resultats - Classement générale'!$B$3:$D$12,3,FALSE),0)+IF(Pronostique!C4='Resultats - Classement générale'!$B$4,50,0)</f>
        <v>65</v>
      </c>
      <c r="D4" s="6">
        <f>IFERROR(VLOOKUP(Pronostique!D4,'Resultats - Classement générale'!$B$3:$D$12,3,FALSE),0)+IF(Pronostique!D4='Resultats - Classement générale'!$B$5,50,0)</f>
        <v>0</v>
      </c>
      <c r="E4" s="6">
        <f>IFERROR(VLOOKUP(Pronostique!E4,'Resultats - Classement générale'!$B$3:$D$12,3,FALSE),0)+IF(Pronostique!E4='Resultats - Classement générale'!$B$6,50,0)</f>
        <v>50</v>
      </c>
      <c r="F4" s="6">
        <f>IFERROR(VLOOKUP(Pronostique!F4,'Resultats - Classement générale'!$B$3:$D$12,3,FALSE),0)+IF(Pronostique!F4='Resultats - Classement générale'!$B$7,50,0)</f>
        <v>75</v>
      </c>
      <c r="G4" s="6">
        <f t="shared" si="0"/>
        <v>330</v>
      </c>
    </row>
    <row r="5" spans="1:7" ht="14.25" customHeight="1" x14ac:dyDescent="0.3">
      <c r="A5" s="6" t="s">
        <v>9</v>
      </c>
      <c r="B5" s="6">
        <f>IFERROR(VLOOKUP(Pronostique!B5,'Resultats - Classement générale'!$B$3:$D$12,3,FALSE),0)+IF(Pronostique!B5='Resultats - Classement générale'!$B$3,50,0)</f>
        <v>50</v>
      </c>
      <c r="C5" s="6">
        <f>IFERROR(VLOOKUP(Pronostique!C5,'Resultats - Classement générale'!$B$3:$D$12,3,FALSE),0)+IF(Pronostique!C5='Resultats - Classement générale'!$B$4,50,0)</f>
        <v>90</v>
      </c>
      <c r="D5" s="6">
        <f>IFERROR(VLOOKUP(Pronostique!D5,'Resultats - Classement générale'!$B$3:$D$12,3,FALSE),0)+IF(Pronostique!D5='Resultats - Classement générale'!$B$5,50,0)</f>
        <v>0</v>
      </c>
      <c r="E5" s="6">
        <f>IFERROR(VLOOKUP(Pronostique!E5,'Resultats - Classement générale'!$B$3:$D$12,3,FALSE),0)+IF(Pronostique!E5='Resultats - Classement générale'!$B$6,50,0)</f>
        <v>75</v>
      </c>
      <c r="F5" s="6">
        <f>IFERROR(VLOOKUP(Pronostique!F5,'Resultats - Classement générale'!$B$3:$D$12,3,FALSE),0)+IF(Pronostique!F5='Resultats - Classement générale'!$B$7,50,0)</f>
        <v>65</v>
      </c>
      <c r="G5" s="6">
        <f t="shared" si="0"/>
        <v>280</v>
      </c>
    </row>
    <row r="6" spans="1:7" ht="14.25" customHeight="1" x14ac:dyDescent="0.3">
      <c r="A6" s="6" t="s">
        <v>5</v>
      </c>
      <c r="B6" s="6">
        <f>IFERROR(VLOOKUP(Pronostique!B6,'Resultats - Classement générale'!$B$3:$D$12,3,FALSE),0)+IF(Pronostique!B6='Resultats - Classement générale'!$B$3,50,0)</f>
        <v>0</v>
      </c>
      <c r="C6" s="6">
        <f>IFERROR(VLOOKUP(Pronostique!C6,'Resultats - Classement générale'!$B$3:$D$12,3,FALSE),0)+IF(Pronostique!C6='Resultats - Classement générale'!$B$4,50,0)</f>
        <v>90</v>
      </c>
      <c r="D6" s="6">
        <f>IFERROR(VLOOKUP(Pronostique!D6,'Resultats - Classement générale'!$B$3:$D$12,3,FALSE),0)+IF(Pronostique!D6='Resultats - Classement générale'!$B$5,50,0)</f>
        <v>50</v>
      </c>
      <c r="E6" s="6">
        <f>IFERROR(VLOOKUP(Pronostique!E6,'Resultats - Classement générale'!$B$3:$D$12,3,FALSE),0)+IF(Pronostique!E6='Resultats - Classement générale'!$B$6,50,0)</f>
        <v>65</v>
      </c>
      <c r="F6" s="6">
        <f>IFERROR(VLOOKUP(Pronostique!F6,'Resultats - Classement générale'!$B$3:$D$12,3,FALSE),0)+IF(Pronostique!F6='Resultats - Classement générale'!$B$7,50,0)</f>
        <v>75</v>
      </c>
      <c r="G6" s="6">
        <f t="shared" si="0"/>
        <v>280</v>
      </c>
    </row>
    <row r="7" spans="1:7" ht="14.25" customHeight="1" x14ac:dyDescent="0.3">
      <c r="A7" s="6" t="s">
        <v>6</v>
      </c>
      <c r="B7" s="6">
        <f>IFERROR(VLOOKUP(Pronostique!B7,'Resultats - Classement générale'!$B$3:$D$12,3,FALSE),0)+IF(Pronostique!B7='Resultats - Classement générale'!$B$3,50,0)</f>
        <v>140</v>
      </c>
      <c r="C7" s="6">
        <f>IFERROR(VLOOKUP(Pronostique!C7,'Resultats - Classement générale'!$B$3:$D$12,3,FALSE),0)+IF(Pronostique!C7='Resultats - Classement générale'!$B$4,50,0)</f>
        <v>65</v>
      </c>
      <c r="D7" s="6">
        <f>IFERROR(VLOOKUP(Pronostique!D7,'Resultats - Classement générale'!$B$3:$D$12,3,FALSE),0)+IF(Pronostique!D7='Resultats - Classement générale'!$B$5,50,0)</f>
        <v>0</v>
      </c>
      <c r="E7" s="6">
        <f>IFERROR(VLOOKUP(Pronostique!E7,'Resultats - Classement générale'!$B$3:$D$12,3,FALSE),0)+IF(Pronostique!E7='Resultats - Classement générale'!$B$6,50,0)</f>
        <v>0</v>
      </c>
      <c r="F7" s="6">
        <f>IFERROR(VLOOKUP(Pronostique!F7,'Resultats - Classement générale'!$B$3:$D$12,3,FALSE),0)+IF(Pronostique!F7='Resultats - Classement générale'!$B$7,50,0)</f>
        <v>31</v>
      </c>
      <c r="G7" s="6">
        <f t="shared" si="0"/>
        <v>236</v>
      </c>
    </row>
    <row r="8" spans="1:7" ht="14.25" customHeight="1" x14ac:dyDescent="0.3">
      <c r="A8" s="6" t="s">
        <v>8</v>
      </c>
      <c r="B8" s="6">
        <f>IFERROR(VLOOKUP(Pronostique!B8,'Resultats - Classement générale'!$B$3:$D$12,3,FALSE),0)+IF(Pronostique!B8='Resultats - Classement générale'!$B$3,50,0)</f>
        <v>140</v>
      </c>
      <c r="C8" s="6">
        <f>IFERROR(VLOOKUP(Pronostique!C8,'Resultats - Classement générale'!$B$3:$D$12,3,FALSE),0)+IF(Pronostique!C8='Resultats - Classement générale'!$B$4,50,0)</f>
        <v>37</v>
      </c>
      <c r="D8" s="6">
        <f>IFERROR(VLOOKUP(Pronostique!D8,'Resultats - Classement générale'!$B$3:$D$12,3,FALSE),0)+IF(Pronostique!D8='Resultats - Classement générale'!$B$5,50,0)</f>
        <v>75</v>
      </c>
      <c r="E8" s="6">
        <f>IFERROR(VLOOKUP(Pronostique!E8,'Resultats - Classement générale'!$B$3:$D$12,3,FALSE),0)+IF(Pronostique!E8='Resultats - Classement générale'!$B$6,50,0)</f>
        <v>0</v>
      </c>
      <c r="F8" s="6">
        <f>IFERROR(VLOOKUP(Pronostique!F8,'Resultats - Classement générale'!$B$3:$D$12,3,FALSE),0)+IF(Pronostique!F8='Resultats - Classement générale'!$B$7,50,0)</f>
        <v>0</v>
      </c>
      <c r="G8" s="6">
        <f t="shared" si="0"/>
        <v>252</v>
      </c>
    </row>
    <row r="9" spans="1:7" ht="14.25" customHeight="1" x14ac:dyDescent="0.3"/>
    <row r="10" spans="1:7" ht="14.25" customHeight="1" x14ac:dyDescent="0.3">
      <c r="A10" s="1" t="s">
        <v>37</v>
      </c>
    </row>
    <row r="11" spans="1:7" ht="14.25" customHeight="1" x14ac:dyDescent="0.3">
      <c r="B11" s="6">
        <v>1</v>
      </c>
      <c r="C11" s="6">
        <v>2</v>
      </c>
      <c r="D11" s="6">
        <v>3</v>
      </c>
      <c r="E11" s="6">
        <v>4</v>
      </c>
      <c r="F11" s="6">
        <v>5</v>
      </c>
      <c r="G11" s="6" t="s">
        <v>50</v>
      </c>
    </row>
    <row r="12" spans="1:7" ht="14.25" customHeight="1" x14ac:dyDescent="0.3">
      <c r="A12" s="6" t="s">
        <v>7</v>
      </c>
      <c r="B12" s="6">
        <f>IFERROR(VLOOKUP(Pronostique!B12,'Resultats - Classement générale'!$A$3:$D$12,4,FALSE),0)+IF(Pronostique!B12='Resultats - Classement générale'!$A$3,50,0)</f>
        <v>140</v>
      </c>
      <c r="C12" s="6">
        <f>IFERROR(VLOOKUP(Pronostique!C12,'Resultats - Classement générale'!$A$3:$D$12,4,FALSE),0)+IF(Pronostique!C12='Resultats - Classement générale'!$A$4,50,0)</f>
        <v>0</v>
      </c>
      <c r="D12" s="6">
        <f>IFERROR(VLOOKUP(Pronostique!D12,'Resultats - Classement générale'!$A$3:$D$12,4,FALSE),0)+IF(Pronostique!D12='Resultats - Classement générale'!$A$5,50,0)</f>
        <v>41</v>
      </c>
      <c r="E12" s="6">
        <f>IFERROR(VLOOKUP(Pronostique!E12,'Resultats - Classement générale'!$A$3:$D$12,4,FALSE),0)+IF(Pronostique!E12='Resultats - Classement générale'!$A$6,50,0)</f>
        <v>45</v>
      </c>
      <c r="F12" s="6">
        <f>IFERROR(VLOOKUP(Pronostique!F12,'Resultats - Classement générale'!$A$3:$D$12,4,FALSE),0)+IF(Pronostique!F12='Resultats - Classement générale'!$A$7,50,0)</f>
        <v>0</v>
      </c>
      <c r="G12" s="6">
        <f t="shared" ref="G12:G17" si="1">SUM(B12:F12)</f>
        <v>226</v>
      </c>
    </row>
    <row r="13" spans="1:7" ht="14.25" customHeight="1" x14ac:dyDescent="0.3">
      <c r="A13" s="6" t="s">
        <v>4</v>
      </c>
      <c r="B13" s="6">
        <f>IFERROR(VLOOKUP(Pronostique!B13,'Resultats - Classement générale'!$A$3:$D$12,4,FALSE),0)+IF(Pronostique!B13='Resultats - Classement générale'!$A$3,50,0)</f>
        <v>140</v>
      </c>
      <c r="C13" s="6">
        <f>IFERROR(VLOOKUP(Pronostique!C13,'Resultats - Classement générale'!$A$3:$D$12,4,FALSE),0)+IF(Pronostique!C13='Resultats - Classement générale'!$A$4,50,0)</f>
        <v>41</v>
      </c>
      <c r="D13" s="6">
        <f>IFERROR(VLOOKUP(Pronostique!D13,'Resultats - Classement générale'!$A$3:$D$12,4,FALSE),0)+IF(Pronostique!D13='Resultats - Classement générale'!$A$5,50,0)</f>
        <v>0</v>
      </c>
      <c r="E13" s="6">
        <f>IFERROR(VLOOKUP(Pronostique!E13,'Resultats - Classement générale'!$A$3:$D$12,4,FALSE),0)+IF(Pronostique!E13='Resultats - Classement générale'!$A$6,50,0)</f>
        <v>0</v>
      </c>
      <c r="F13" s="6">
        <f>IFERROR(VLOOKUP(Pronostique!F13,'Resultats - Classement générale'!$A$3:$D$12,4,FALSE),0)+IF(Pronostique!F13='Resultats - Classement générale'!$A$7,50,0)</f>
        <v>45</v>
      </c>
      <c r="G13" s="6">
        <f t="shared" si="1"/>
        <v>226</v>
      </c>
    </row>
    <row r="14" spans="1:7" ht="14.25" customHeight="1" x14ac:dyDescent="0.3">
      <c r="A14" s="6" t="s">
        <v>9</v>
      </c>
      <c r="B14" s="6">
        <f>IFERROR(VLOOKUP(Pronostique!B14,'Resultats - Classement générale'!$A$3:$D$12,4,FALSE),0)+IF(Pronostique!B14='Resultats - Classement générale'!$A$3,50,0)</f>
        <v>140</v>
      </c>
      <c r="C14" s="6">
        <f>IFERROR(VLOOKUP(Pronostique!C14,'Resultats - Classement générale'!$A$3:$D$12,4,FALSE),0)+IF(Pronostique!C14='Resultats - Classement générale'!$A$4,50,0)</f>
        <v>41</v>
      </c>
      <c r="D14" s="6">
        <f>IFERROR(VLOOKUP(Pronostique!D14,'Resultats - Classement générale'!$A$3:$D$12,4,FALSE),0)+IF(Pronostique!D14='Resultats - Classement générale'!$A$5,50,0)</f>
        <v>34</v>
      </c>
      <c r="E14" s="6">
        <f>IFERROR(VLOOKUP(Pronostique!E14,'Resultats - Classement générale'!$A$3:$D$12,4,FALSE),0)+IF(Pronostique!E14='Resultats - Classement générale'!$A$6,50,0)</f>
        <v>0</v>
      </c>
      <c r="F14" s="6">
        <f>IFERROR(VLOOKUP(Pronostique!F14,'Resultats - Classement générale'!$A$3:$D$12,4,FALSE),0)+IF(Pronostique!F14='Resultats - Classement générale'!$A$7,50,0)</f>
        <v>0</v>
      </c>
      <c r="G14" s="6">
        <f t="shared" si="1"/>
        <v>215</v>
      </c>
    </row>
    <row r="15" spans="1:7" ht="14.25" customHeight="1" x14ac:dyDescent="0.3">
      <c r="A15" s="6" t="s">
        <v>5</v>
      </c>
      <c r="B15" s="6">
        <f>IFERROR(VLOOKUP(Pronostique!B15,'Resultats - Classement générale'!$A$3:$D$12,4,FALSE),0)+IF(Pronostique!B15='Resultats - Classement générale'!$A$3,50,0)</f>
        <v>140</v>
      </c>
      <c r="C15" s="6">
        <f>IFERROR(VLOOKUP(Pronostique!C15,'Resultats - Classement générale'!$A$3:$D$12,4,FALSE),0)+IF(Pronostique!C15='Resultats - Classement générale'!$A$4,50,0)</f>
        <v>0</v>
      </c>
      <c r="D15" s="6">
        <f>IFERROR(VLOOKUP(Pronostique!D15,'Resultats - Classement générale'!$A$3:$D$12,4,FALSE),0)+IF(Pronostique!D15='Resultats - Classement générale'!$A$5,50,0)</f>
        <v>45</v>
      </c>
      <c r="E15" s="6">
        <f>IFERROR(VLOOKUP(Pronostique!E15,'Resultats - Classement générale'!$A$3:$D$12,4,FALSE),0)+IF(Pronostique!E15='Resultats - Classement générale'!$A$6,50,0)</f>
        <v>34</v>
      </c>
      <c r="F15" s="6">
        <f>IFERROR(VLOOKUP(Pronostique!F15,'Resultats - Classement générale'!$A$3:$D$12,4,FALSE),0)+IF(Pronostique!F15='Resultats - Classement générale'!$A$7,50,0)</f>
        <v>41</v>
      </c>
      <c r="G15" s="6">
        <f t="shared" si="1"/>
        <v>260</v>
      </c>
    </row>
    <row r="16" spans="1:7" ht="14.25" customHeight="1" x14ac:dyDescent="0.3">
      <c r="A16" s="6" t="s">
        <v>6</v>
      </c>
      <c r="B16" s="6">
        <f>IFERROR(VLOOKUP(Pronostique!B16,'Resultats - Classement générale'!$A$3:$D$12,4,FALSE),0)+IF(Pronostique!B16='Resultats - Classement générale'!$A$3,50,0)</f>
        <v>140</v>
      </c>
      <c r="C16" s="6">
        <f>IFERROR(VLOOKUP(Pronostique!C16,'Resultats - Classement générale'!$A$3:$D$12,4,FALSE),0)+IF(Pronostique!C16='Resultats - Classement générale'!$A$4,50,0)</f>
        <v>41</v>
      </c>
      <c r="D16" s="6">
        <f>IFERROR(VLOOKUP(Pronostique!D16,'Resultats - Classement générale'!$A$3:$D$12,4,FALSE),0)+IF(Pronostique!D16='Resultats - Classement générale'!$A$5,50,0)</f>
        <v>0</v>
      </c>
      <c r="E16" s="6">
        <f>IFERROR(VLOOKUP(Pronostique!E16,'Resultats - Classement générale'!$A$3:$D$12,4,FALSE),0)+IF(Pronostique!E16='Resultats - Classement générale'!$A$6,50,0)</f>
        <v>0</v>
      </c>
      <c r="F16" s="6">
        <f>IFERROR(VLOOKUP(Pronostique!F16,'Resultats - Classement générale'!$A$3:$D$12,4,FALSE),0)+IF(Pronostique!F16='Resultats - Classement générale'!$A$7,50,0)</f>
        <v>75</v>
      </c>
      <c r="G16" s="6">
        <f t="shared" si="1"/>
        <v>256</v>
      </c>
    </row>
    <row r="17" spans="1:7" ht="14.25" customHeight="1" x14ac:dyDescent="0.3">
      <c r="A17" s="6" t="s">
        <v>8</v>
      </c>
      <c r="B17" s="6">
        <f>IFERROR(VLOOKUP(Pronostique!B17,'Resultats - Classement générale'!$A$3:$D$12,4,FALSE),0)+IF(Pronostique!B17='Resultats - Classement générale'!$A$3,50,0)</f>
        <v>140</v>
      </c>
      <c r="C17" s="6">
        <f>IFERROR(VLOOKUP(Pronostique!C17,'Resultats - Classement générale'!$A$3:$D$12,4,FALSE),0)+IF(Pronostique!C17='Resultats - Classement générale'!$A$4,50,0)</f>
        <v>41</v>
      </c>
      <c r="D17" s="6">
        <f>IFERROR(VLOOKUP(Pronostique!D17,'Resultats - Classement générale'!$A$3:$D$12,4,FALSE),0)+IF(Pronostique!D17='Resultats - Classement générale'!$A$5,50,0)</f>
        <v>0</v>
      </c>
      <c r="E17" s="6">
        <f>IFERROR(VLOOKUP(Pronostique!E17,'Resultats - Classement générale'!$A$3:$D$12,4,FALSE),0)+IF(Pronostique!E17='Resultats - Classement générale'!$A$6,50,0)</f>
        <v>0</v>
      </c>
      <c r="F17" s="6">
        <f>IFERROR(VLOOKUP(Pronostique!F17,'Resultats - Classement générale'!$A$3:$D$12,4,FALSE),0)+IF(Pronostique!F17='Resultats - Classement générale'!$A$7,50,0)</f>
        <v>0</v>
      </c>
      <c r="G17" s="6">
        <f t="shared" si="1"/>
        <v>181</v>
      </c>
    </row>
    <row r="18" spans="1:7" ht="14.25" customHeight="1" x14ac:dyDescent="0.3"/>
    <row r="19" spans="1:7" ht="14.25" customHeight="1" x14ac:dyDescent="0.3">
      <c r="A19" s="1" t="s">
        <v>44</v>
      </c>
    </row>
    <row r="20" spans="1:7" ht="14.25" customHeight="1" x14ac:dyDescent="0.3">
      <c r="B20" s="6" t="s">
        <v>45</v>
      </c>
      <c r="C20" s="6" t="s">
        <v>10</v>
      </c>
    </row>
    <row r="21" spans="1:7" ht="14.25" customHeight="1" x14ac:dyDescent="0.3">
      <c r="A21" s="6" t="s">
        <v>7</v>
      </c>
      <c r="B21" s="6">
        <f>IF(Pronostique!B21='Resultats - Classement générale'!$B$13,50,0)</f>
        <v>0</v>
      </c>
      <c r="C21" s="6">
        <f>IF(Pronostique!C21='Resultats - Classement générale'!$A$13,50,0)</f>
        <v>0</v>
      </c>
    </row>
    <row r="22" spans="1:7" ht="14.25" customHeight="1" x14ac:dyDescent="0.3">
      <c r="A22" s="6" t="s">
        <v>4</v>
      </c>
      <c r="B22" s="6">
        <f>IF(Pronostique!B22='Resultats - Classement générale'!$B$13,50,0)</f>
        <v>0</v>
      </c>
      <c r="C22" s="6">
        <f>IF(Pronostique!C22='Resultats - Classement générale'!$A$13,50,0)</f>
        <v>50</v>
      </c>
    </row>
    <row r="23" spans="1:7" ht="14.25" customHeight="1" x14ac:dyDescent="0.3">
      <c r="A23" s="6" t="s">
        <v>9</v>
      </c>
      <c r="B23" s="6">
        <f>IF(Pronostique!B23='Resultats - Classement générale'!$B$13,50,0)</f>
        <v>0</v>
      </c>
      <c r="C23" s="6">
        <f>IF(Pronostique!C23='Resultats - Classement générale'!$A$13,50,0)</f>
        <v>0</v>
      </c>
    </row>
    <row r="24" spans="1:7" ht="14.25" customHeight="1" x14ac:dyDescent="0.3">
      <c r="A24" s="6" t="s">
        <v>5</v>
      </c>
      <c r="B24" s="6">
        <f>IF(Pronostique!B24='Resultats - Classement générale'!$B$13,50,0)</f>
        <v>0</v>
      </c>
      <c r="C24" s="6">
        <f>IF(Pronostique!C24='Resultats - Classement générale'!$A$13,50,0)</f>
        <v>0</v>
      </c>
    </row>
    <row r="25" spans="1:7" ht="14.25" customHeight="1" x14ac:dyDescent="0.3">
      <c r="A25" s="6" t="s">
        <v>6</v>
      </c>
      <c r="B25" s="6">
        <f>IF(Pronostique!B25='Resultats - Classement générale'!$B$13,50,0)</f>
        <v>0</v>
      </c>
      <c r="C25" s="6">
        <f>IF(Pronostique!C25='Resultats - Classement générale'!$A$13,50,0)</f>
        <v>0</v>
      </c>
    </row>
    <row r="26" spans="1:7" ht="14.25" customHeight="1" x14ac:dyDescent="0.3">
      <c r="A26" s="6" t="s">
        <v>8</v>
      </c>
      <c r="B26" s="6">
        <f>IF(Pronostique!B26='Resultats - Classement générale'!$B$13,50,0)</f>
        <v>0</v>
      </c>
      <c r="C26" s="6">
        <f>IF(Pronostique!C26='Resultats - Classement générale'!$A$13,50,0)</f>
        <v>0</v>
      </c>
    </row>
    <row r="27" spans="1:7" ht="14.25" customHeight="1" x14ac:dyDescent="0.3"/>
    <row r="28" spans="1:7" ht="14.25" customHeight="1" x14ac:dyDescent="0.3">
      <c r="A28" s="1" t="s">
        <v>46</v>
      </c>
    </row>
    <row r="29" spans="1:7" ht="14.25" customHeight="1" x14ac:dyDescent="0.3">
      <c r="B29" s="6" t="s">
        <v>45</v>
      </c>
      <c r="C29" s="6" t="s">
        <v>10</v>
      </c>
    </row>
    <row r="30" spans="1:7" ht="14.25" customHeight="1" x14ac:dyDescent="0.3">
      <c r="A30" s="6" t="s">
        <v>7</v>
      </c>
      <c r="B30" s="6">
        <f>IF(Pronostique!B30='Resultats - Classement générale'!$B$14,50,0)</f>
        <v>50</v>
      </c>
      <c r="C30" s="6">
        <f>IF(Pronostique!C30='Resultats - Classement générale'!$A$14,50,0)</f>
        <v>0</v>
      </c>
    </row>
    <row r="31" spans="1:7" ht="14.25" customHeight="1" x14ac:dyDescent="0.3">
      <c r="A31" s="6" t="s">
        <v>4</v>
      </c>
      <c r="B31" s="6">
        <f>IF(Pronostique!B31='Resultats - Classement générale'!$B$14,50,0)</f>
        <v>0</v>
      </c>
      <c r="C31" s="6">
        <f>IF(Pronostique!C31='Resultats - Classement générale'!$A$14,50,0)</f>
        <v>0</v>
      </c>
    </row>
    <row r="32" spans="1:7" ht="14.25" customHeight="1" x14ac:dyDescent="0.3">
      <c r="A32" s="6" t="s">
        <v>9</v>
      </c>
      <c r="B32" s="6">
        <f>IF(Pronostique!B32='Resultats - Classement générale'!$B$14,50,0)</f>
        <v>0</v>
      </c>
      <c r="C32" s="6">
        <f>IF(Pronostique!C32='Resultats - Classement générale'!$A$14,50,0)</f>
        <v>0</v>
      </c>
    </row>
    <row r="33" spans="1:3" ht="14.25" customHeight="1" x14ac:dyDescent="0.3">
      <c r="A33" s="6" t="s">
        <v>5</v>
      </c>
      <c r="B33" s="6">
        <f>IF(Pronostique!B33='Resultats - Classement générale'!$B$14,50,0)</f>
        <v>50</v>
      </c>
      <c r="C33" s="6">
        <f>IF(Pronostique!C33='Resultats - Classement générale'!$A$14,50,0)</f>
        <v>0</v>
      </c>
    </row>
    <row r="34" spans="1:3" ht="14.25" customHeight="1" x14ac:dyDescent="0.3">
      <c r="A34" s="6" t="s">
        <v>6</v>
      </c>
      <c r="B34" s="6">
        <f>IF(Pronostique!B34='Resultats - Classement générale'!$B$14,50,0)</f>
        <v>0</v>
      </c>
      <c r="C34" s="6">
        <f>IF(Pronostique!C34='Resultats - Classement générale'!$A$14,50,0)</f>
        <v>0</v>
      </c>
    </row>
    <row r="35" spans="1:3" ht="14.25" customHeight="1" x14ac:dyDescent="0.3">
      <c r="A35" s="6" t="s">
        <v>8</v>
      </c>
      <c r="B35" s="6">
        <f>IF(Pronostique!B35='Resultats - Classement générale'!$B$14,50,0)</f>
        <v>50</v>
      </c>
      <c r="C35" s="6">
        <f>IF(Pronostique!C35='Resultats - Classement générale'!$A$14,50,0)</f>
        <v>0</v>
      </c>
    </row>
    <row r="36" spans="1:3" ht="14.25" customHeight="1" x14ac:dyDescent="0.3"/>
    <row r="37" spans="1:3" ht="14.25" customHeight="1" x14ac:dyDescent="0.3">
      <c r="A37" s="1" t="s">
        <v>47</v>
      </c>
    </row>
    <row r="38" spans="1:3" ht="14.25" customHeight="1" x14ac:dyDescent="0.3">
      <c r="B38" s="6" t="s">
        <v>45</v>
      </c>
      <c r="C38" s="6" t="s">
        <v>10</v>
      </c>
    </row>
    <row r="39" spans="1:3" ht="14.25" customHeight="1" x14ac:dyDescent="0.3">
      <c r="A39" s="6" t="s">
        <v>7</v>
      </c>
      <c r="B39" s="6">
        <f>IF(Pronostique!B39='Resultats - Classement générale'!$B$15,50,0)</f>
        <v>0</v>
      </c>
      <c r="C39" s="6">
        <f>IF(Pronostique!C39='Resultats - Classement générale'!$A$15,50,0)</f>
        <v>50</v>
      </c>
    </row>
    <row r="40" spans="1:3" ht="14.25" customHeight="1" x14ac:dyDescent="0.3">
      <c r="A40" s="6" t="s">
        <v>4</v>
      </c>
      <c r="B40" s="6">
        <f>IF(Pronostique!B40='Resultats - Classement générale'!$B$15,50,0)</f>
        <v>50</v>
      </c>
      <c r="C40" s="6">
        <f>IF(Pronostique!C40='Resultats - Classement générale'!$A$15,50,0)</f>
        <v>0</v>
      </c>
    </row>
    <row r="41" spans="1:3" ht="14.25" customHeight="1" x14ac:dyDescent="0.3">
      <c r="A41" s="6" t="s">
        <v>9</v>
      </c>
      <c r="B41" s="6">
        <f>IF(Pronostique!B41='Resultats - Classement générale'!$B$15,50,0)</f>
        <v>0</v>
      </c>
      <c r="C41" s="6">
        <f>IF(Pronostique!C41='Resultats - Classement générale'!$A$15,50,0)</f>
        <v>0</v>
      </c>
    </row>
    <row r="42" spans="1:3" ht="14.25" customHeight="1" x14ac:dyDescent="0.3">
      <c r="A42" s="6" t="s">
        <v>5</v>
      </c>
      <c r="B42" s="6">
        <f>IF(Pronostique!B42='Resultats - Classement générale'!$B$15,50,0)</f>
        <v>0</v>
      </c>
      <c r="C42" s="6">
        <f>IF(Pronostique!C42='Resultats - Classement générale'!$A$15,50,0)</f>
        <v>50</v>
      </c>
    </row>
    <row r="43" spans="1:3" ht="14.25" customHeight="1" x14ac:dyDescent="0.3">
      <c r="A43" s="6" t="s">
        <v>6</v>
      </c>
      <c r="B43" s="6">
        <f>IF(Pronostique!B43='Resultats - Classement générale'!$B$15,50,0)</f>
        <v>0</v>
      </c>
      <c r="C43" s="6">
        <f>IF(Pronostique!C43='Resultats - Classement générale'!$A$15,50,0)</f>
        <v>0</v>
      </c>
    </row>
    <row r="44" spans="1:3" ht="14.25" customHeight="1" x14ac:dyDescent="0.3">
      <c r="A44" s="6" t="s">
        <v>8</v>
      </c>
      <c r="B44" s="6">
        <f>IF(Pronostique!B44='Resultats - Classement générale'!$B$15,50,0)</f>
        <v>50</v>
      </c>
      <c r="C44" s="6">
        <f>IF(Pronostique!C44='Resultats - Classement générale'!$A$15,50,0)</f>
        <v>0</v>
      </c>
    </row>
    <row r="45" spans="1:3" ht="14.25" customHeight="1" x14ac:dyDescent="0.3"/>
    <row r="46" spans="1:3" ht="14.25" customHeight="1" x14ac:dyDescent="0.3">
      <c r="A46" s="1" t="s">
        <v>48</v>
      </c>
    </row>
    <row r="47" spans="1:3" ht="14.25" customHeight="1" x14ac:dyDescent="0.3">
      <c r="B47" s="6" t="s">
        <v>45</v>
      </c>
      <c r="C47" s="6" t="s">
        <v>10</v>
      </c>
    </row>
    <row r="48" spans="1:3" ht="14.25" customHeight="1" x14ac:dyDescent="0.3">
      <c r="A48" s="6" t="s">
        <v>7</v>
      </c>
      <c r="B48" s="6">
        <f>IF(Pronostique!B48='Resultats - Classement générale'!$B$16,50,0)</f>
        <v>0</v>
      </c>
      <c r="C48" s="6">
        <f>IF(Pronostique!C48='Resultats - Classement générale'!$A$16,50,0)</f>
        <v>0</v>
      </c>
    </row>
    <row r="49" spans="1:4" ht="14.25" customHeight="1" x14ac:dyDescent="0.3">
      <c r="A49" s="6" t="s">
        <v>4</v>
      </c>
      <c r="B49" s="6">
        <f>IF(Pronostique!B49='Resultats - Classement générale'!$B$16,50,0)</f>
        <v>50</v>
      </c>
      <c r="C49" s="6">
        <f>IF(Pronostique!C49='Resultats - Classement générale'!$A$16,50,0)</f>
        <v>0</v>
      </c>
    </row>
    <row r="50" spans="1:4" ht="14.25" customHeight="1" x14ac:dyDescent="0.3">
      <c r="A50" s="6" t="s">
        <v>9</v>
      </c>
      <c r="B50" s="6">
        <f>IF(Pronostique!B50='Resultats - Classement générale'!$B$16,50,0)</f>
        <v>0</v>
      </c>
      <c r="C50" s="6">
        <f>IF(Pronostique!C50='Resultats - Classement générale'!$A$16,50,0)</f>
        <v>50</v>
      </c>
    </row>
    <row r="51" spans="1:4" ht="14.25" customHeight="1" x14ac:dyDescent="0.3">
      <c r="A51" s="6" t="s">
        <v>5</v>
      </c>
      <c r="B51" s="6">
        <f>IF(Pronostique!B51='Resultats - Classement générale'!$B$16,50,0)</f>
        <v>50</v>
      </c>
      <c r="C51" s="6">
        <f>IF(Pronostique!C51='Resultats - Classement générale'!$A$16,50,0)</f>
        <v>0</v>
      </c>
    </row>
    <row r="52" spans="1:4" ht="14.25" customHeight="1" x14ac:dyDescent="0.3">
      <c r="A52" s="6" t="s">
        <v>6</v>
      </c>
      <c r="B52" s="6">
        <f>IF(Pronostique!B52='Resultats - Classement générale'!$B$16,50,0)</f>
        <v>50</v>
      </c>
      <c r="C52" s="6">
        <f>IF(Pronostique!C52='Resultats - Classement générale'!$A$16,50,0)</f>
        <v>50</v>
      </c>
    </row>
    <row r="53" spans="1:4" ht="14.25" customHeight="1" x14ac:dyDescent="0.3">
      <c r="A53" s="6" t="s">
        <v>8</v>
      </c>
      <c r="B53" s="6">
        <f>IF(Pronostique!B53='Resultats - Classement générale'!$B$16,50,0)</f>
        <v>0</v>
      </c>
      <c r="C53" s="6">
        <f>IF(Pronostique!C53='Resultats - Classement générale'!$A$16,50,0)</f>
        <v>50</v>
      </c>
    </row>
    <row r="54" spans="1:4" ht="14.25" customHeight="1" x14ac:dyDescent="0.3"/>
    <row r="55" spans="1:4" ht="14.25" customHeight="1" x14ac:dyDescent="0.3"/>
    <row r="56" spans="1:4" ht="14.25" customHeight="1" x14ac:dyDescent="0.3"/>
    <row r="57" spans="1:4" ht="14.25" customHeight="1" x14ac:dyDescent="0.3">
      <c r="A57" s="1" t="s">
        <v>0</v>
      </c>
      <c r="B57" s="6" t="s">
        <v>45</v>
      </c>
      <c r="C57" s="6" t="s">
        <v>10</v>
      </c>
      <c r="D57" s="6" t="s">
        <v>50</v>
      </c>
    </row>
    <row r="58" spans="1:4" ht="14.25" customHeight="1" x14ac:dyDescent="0.3">
      <c r="A58" s="6" t="s">
        <v>7</v>
      </c>
      <c r="B58" s="6">
        <f t="shared" ref="B58:B63" si="2">G3+B21+B30+B39+B48</f>
        <v>305</v>
      </c>
      <c r="C58" s="6">
        <f t="shared" ref="C58:C63" si="3">G12+C21+C30+C39+C48</f>
        <v>276</v>
      </c>
      <c r="D58" s="6">
        <f t="shared" ref="D58:D63" si="4">B58+C58</f>
        <v>581</v>
      </c>
    </row>
    <row r="59" spans="1:4" ht="14.25" customHeight="1" x14ac:dyDescent="0.3">
      <c r="A59" s="6" t="s">
        <v>4</v>
      </c>
      <c r="B59" s="6">
        <f>G4+B22+B31+B40+B49</f>
        <v>430</v>
      </c>
      <c r="C59" s="6">
        <f t="shared" si="3"/>
        <v>276</v>
      </c>
      <c r="D59" s="6">
        <f t="shared" si="4"/>
        <v>706</v>
      </c>
    </row>
    <row r="60" spans="1:4" ht="14.25" customHeight="1" x14ac:dyDescent="0.3">
      <c r="A60" s="6" t="s">
        <v>9</v>
      </c>
      <c r="B60" s="6">
        <f t="shared" si="2"/>
        <v>280</v>
      </c>
      <c r="C60" s="6">
        <f t="shared" si="3"/>
        <v>265</v>
      </c>
      <c r="D60" s="6">
        <f t="shared" si="4"/>
        <v>545</v>
      </c>
    </row>
    <row r="61" spans="1:4" ht="14.25" customHeight="1" x14ac:dyDescent="0.3">
      <c r="A61" s="6" t="s">
        <v>5</v>
      </c>
      <c r="B61" s="6">
        <f t="shared" si="2"/>
        <v>380</v>
      </c>
      <c r="C61" s="6">
        <f t="shared" si="3"/>
        <v>310</v>
      </c>
      <c r="D61" s="6">
        <f t="shared" si="4"/>
        <v>690</v>
      </c>
    </row>
    <row r="62" spans="1:4" ht="14.25" customHeight="1" x14ac:dyDescent="0.3">
      <c r="A62" s="6" t="s">
        <v>6</v>
      </c>
      <c r="B62" s="6">
        <f t="shared" si="2"/>
        <v>286</v>
      </c>
      <c r="C62" s="6">
        <f t="shared" si="3"/>
        <v>306</v>
      </c>
      <c r="D62" s="6">
        <f t="shared" si="4"/>
        <v>592</v>
      </c>
    </row>
    <row r="63" spans="1:4" ht="14.25" customHeight="1" x14ac:dyDescent="0.3">
      <c r="A63" s="6" t="s">
        <v>8</v>
      </c>
      <c r="B63" s="6">
        <f t="shared" si="2"/>
        <v>352</v>
      </c>
      <c r="C63" s="6">
        <f t="shared" si="3"/>
        <v>231</v>
      </c>
      <c r="D63" s="6">
        <f t="shared" si="4"/>
        <v>583</v>
      </c>
    </row>
    <row r="64" spans="1: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Resultats classement général</vt:lpstr>
      <vt:lpstr>Resultats - Classement générale</vt:lpstr>
      <vt:lpstr>Pronostique</vt:lpstr>
      <vt:lpstr>Liste des candidats</vt:lpstr>
      <vt:lpstr>Calcul des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MEUR</dc:creator>
  <cp:lastModifiedBy>Florian Binter</cp:lastModifiedBy>
  <dcterms:created xsi:type="dcterms:W3CDTF">2025-12-02T14:00:06Z</dcterms:created>
  <dcterms:modified xsi:type="dcterms:W3CDTF">2026-02-12T15:28:15Z</dcterms:modified>
</cp:coreProperties>
</file>